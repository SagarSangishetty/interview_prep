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agar\Personal\Personal\Personal\Sagar\latestresume\final\Interview Prep\Devops\"/>
    </mc:Choice>
  </mc:AlternateContent>
  <xr:revisionPtr revIDLastSave="0" documentId="13_ncr:1_{377D9CF1-4422-4A6B-9F18-12EB7C8B53B8}" xr6:coauthVersionLast="47" xr6:coauthVersionMax="47" xr10:uidLastSave="{00000000-0000-0000-0000-000000000000}"/>
  <bookViews>
    <workbookView xWindow="-120" yWindow="-120" windowWidth="20640" windowHeight="11040" tabRatio="500" activeTab="3" xr2:uid="{00000000-000D-0000-FFFF-FFFF00000000}"/>
  </bookViews>
  <sheets>
    <sheet name="Applications" sheetId="1" r:id="rId1"/>
    <sheet name="Summary" sheetId="2" r:id="rId2"/>
    <sheet name="Details" sheetId="3" r:id="rId3"/>
    <sheet name="Job Search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B11" i="2"/>
  <c r="E10" i="2"/>
  <c r="B19" i="2" s="1"/>
  <c r="B10" i="2"/>
  <c r="E9" i="2"/>
  <c r="B9" i="2"/>
  <c r="E8" i="2"/>
  <c r="B8" i="2"/>
  <c r="E7" i="2"/>
  <c r="B7" i="2"/>
  <c r="E6" i="2"/>
  <c r="B6" i="2"/>
  <c r="E5" i="2"/>
  <c r="B5" i="2"/>
  <c r="B12" i="2" s="1"/>
  <c r="B15" i="2" s="1"/>
  <c r="B18" i="2" l="1"/>
  <c r="B16" i="2"/>
  <c r="B17" i="2"/>
</calcChain>
</file>

<file path=xl/sharedStrings.xml><?xml version="1.0" encoding="utf-8"?>
<sst xmlns="http://schemas.openxmlformats.org/spreadsheetml/2006/main" count="74" uniqueCount="66">
  <si>
    <t>Date Applied</t>
  </si>
  <si>
    <t>Company</t>
  </si>
  <si>
    <t>Role Title</t>
  </si>
  <si>
    <t>Channel</t>
  </si>
  <si>
    <t>Direct Link / Referral?</t>
  </si>
  <si>
    <t>Notice Period Stated?</t>
  </si>
  <si>
    <t>Status</t>
  </si>
  <si>
    <t>Follow-up Date</t>
  </si>
  <si>
    <t>Next Action</t>
  </si>
  <si>
    <t>Notes</t>
  </si>
  <si>
    <t>2026-08-03</t>
  </si>
  <si>
    <t>Example Fintech Pvt Ltd</t>
  </si>
  <si>
    <t>DevOps Engineer</t>
  </si>
  <si>
    <t>Direct Portal</t>
  </si>
  <si>
    <t>Yes - careers page</t>
  </si>
  <si>
    <t>Mentioned in cover note</t>
  </si>
  <si>
    <t>Applied</t>
  </si>
  <si>
    <t>2026-08-10</t>
  </si>
  <si>
    <t>Follow up via email</t>
  </si>
  <si>
    <t>Found via LinkedIn job post, applied direct on their site</t>
  </si>
  <si>
    <t>Legend: Row 2 (grey italic) is an example only, showing expected format — overwrite or delete it. Fill Date Applied, Company, Role, Channel for every application; update Status and Follow-up Date as things move.</t>
  </si>
  <si>
    <t>Job Search Tracker — Summary</t>
  </si>
  <si>
    <t>Applications by Channel</t>
  </si>
  <si>
    <t>Applications by Status</t>
  </si>
  <si>
    <t>Count</t>
  </si>
  <si>
    <t>LinkedIn DM</t>
  </si>
  <si>
    <t>No Response</t>
  </si>
  <si>
    <t>LinkedIn Easy Apply</t>
  </si>
  <si>
    <t>Screening Call</t>
  </si>
  <si>
    <t>Referral</t>
  </si>
  <si>
    <t>Interview Scheduled</t>
  </si>
  <si>
    <t>Naukri</t>
  </si>
  <si>
    <t>Interview Done</t>
  </si>
  <si>
    <t>Indeed</t>
  </si>
  <si>
    <t>Rejected</t>
  </si>
  <si>
    <t>Other</t>
  </si>
  <si>
    <t>Offer</t>
  </si>
  <si>
    <t>Total Applications</t>
  </si>
  <si>
    <t>Key Metrics</t>
  </si>
  <si>
    <t>Screening Calls</t>
  </si>
  <si>
    <t>Interviews (Scheduled + Done)</t>
  </si>
  <si>
    <t>Application → Screening Call Rate</t>
  </si>
  <si>
    <t>Screening Call → Interview Rate</t>
  </si>
  <si>
    <t>Update this sheet automatically reflects the Applications tab — no manual entry needed here.</t>
  </si>
  <si>
    <t xml:space="preserve">Address </t>
  </si>
  <si>
    <t xml:space="preserve">Riddhi Siddhi Regency </t>
  </si>
  <si>
    <t>303 Sector 22 Plot 111</t>
  </si>
  <si>
    <t>Kamote Panvel 410209</t>
  </si>
  <si>
    <t>LinkedIn Jobs</t>
  </si>
  <si>
    <t>1. Date posted → Past week</t>
  </si>
  <si>
    <t>2. Experience level → Mid-Senior level</t>
  </si>
  <si>
    <t>3. Job type → Full-time</t>
  </si>
  <si>
    <t>4. On-site/Remote → Remote + Hybrid (add On-site if open to relocation)</t>
  </si>
  <si>
    <t>5. Location → Pune / Mumbai / Bangalore</t>
  </si>
  <si>
    <t>6. Company → uncheck Staffing/Consulting if that filter is available</t>
  </si>
  <si>
    <t>1. Experience → 6-10 years (adjust to your actual band)</t>
  </si>
  <si>
    <t>2. Location → Pune, Mumbai, Bangalore</t>
  </si>
  <si>
    <t>3. Salary → set your minimum expected CTC</t>
  </si>
  <si>
    <t>4. Freshness → Last 7 days</t>
  </si>
  <si>
    <t>5. Department/Role category → DevOps/Cloud/Infrastructure</t>
  </si>
  <si>
    <t>6. Company type → uncheck if a "consulting/staffing" filter exists</t>
  </si>
  <si>
    <t>1. Date posted → Last 7 days</t>
  </si>
  <si>
    <t>2. Job type → Full-time</t>
  </si>
  <si>
    <t>3. Experience level → Mid level / Senior level</t>
  </si>
  <si>
    <t>4. Location → Pune, Mumbai, Bangalore, or Remote</t>
  </si>
  <si>
    <t>5. Salary estimate → set your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</si>
</sst>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10"/>
      <color rgb="FF808080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Border="1" applyAlignment="1">
      <alignment wrapText="1"/>
    </xf>
    <xf numFmtId="0" fontId="5" fillId="0" borderId="0" xfId="0" applyFont="1" applyBorder="1"/>
    <xf numFmtId="0" fontId="4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zoomScaleNormal="100" workbookViewId="0">
      <pane ySplit="1" topLeftCell="A2" activePane="bottomLeft" state="frozen"/>
      <selection pane="bottomLeft" activeCell="J2" sqref="J2"/>
    </sheetView>
  </sheetViews>
  <sheetFormatPr defaultColWidth="8.7109375" defaultRowHeight="15" x14ac:dyDescent="0.25"/>
  <cols>
    <col min="1" max="1" width="13" customWidth="1"/>
    <col min="2" max="2" width="20" customWidth="1"/>
    <col min="3" max="3" width="24" customWidth="1"/>
    <col min="4" max="4" width="14" customWidth="1"/>
    <col min="5" max="5" width="20" customWidth="1"/>
    <col min="6" max="6" width="18" customWidth="1"/>
    <col min="7" max="7" width="14" customWidth="1"/>
    <col min="8" max="8" width="15" customWidth="1"/>
    <col min="9" max="9" width="22" customWidth="1"/>
    <col min="10" max="10" width="30" customWidth="1"/>
  </cols>
  <sheetData>
    <row r="1" spans="1:10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5.5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5" spans="1:10" ht="15" customHeight="1" x14ac:dyDescent="0.25">
      <c r="A205" s="3" t="s">
        <v>20</v>
      </c>
      <c r="B205" s="3"/>
      <c r="C205" s="3"/>
      <c r="D205" s="3"/>
      <c r="E205" s="3"/>
      <c r="F205" s="3"/>
      <c r="G205" s="3"/>
      <c r="H205" s="3"/>
      <c r="I205" s="3"/>
      <c r="J205" s="3"/>
    </row>
  </sheetData>
  <mergeCells count="1">
    <mergeCell ref="A205:J205"/>
  </mergeCells>
  <dataValidations count="2">
    <dataValidation type="list" allowBlank="1" sqref="D3:D202" xr:uid="{00000000-0002-0000-0000-000000000000}">
      <formula1>"Direct Portal,LinkedIn DM,LinkedIn Easy Apply,Referral,Naukri,Indeed,Other"</formula1>
      <formula2>0</formula2>
    </dataValidation>
    <dataValidation type="list" allowBlank="1" sqref="G3:G202" xr:uid="{00000000-0002-0000-0000-000001000000}">
      <formula1>"Applied,No Response,Screening Call,Interview Scheduled,Interview Done,Rejected,Offer"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sqref="A1:E1"/>
    </sheetView>
  </sheetViews>
  <sheetFormatPr defaultColWidth="8.7109375" defaultRowHeight="15" x14ac:dyDescent="0.25"/>
  <cols>
    <col min="1" max="1" width="26" customWidth="1"/>
    <col min="2" max="2" width="16" customWidth="1"/>
    <col min="3" max="3" width="4" customWidth="1"/>
    <col min="4" max="4" width="26" customWidth="1"/>
    <col min="5" max="5" width="16" customWidth="1"/>
  </cols>
  <sheetData>
    <row r="1" spans="1:5" ht="18" x14ac:dyDescent="0.25">
      <c r="A1" s="2" t="s">
        <v>21</v>
      </c>
      <c r="B1" s="2"/>
      <c r="C1" s="2"/>
      <c r="D1" s="2"/>
      <c r="E1" s="2"/>
    </row>
    <row r="3" spans="1:5" x14ac:dyDescent="0.25">
      <c r="A3" s="7" t="s">
        <v>22</v>
      </c>
      <c r="D3" s="7" t="s">
        <v>23</v>
      </c>
    </row>
    <row r="4" spans="1:5" x14ac:dyDescent="0.25">
      <c r="A4" s="4" t="s">
        <v>3</v>
      </c>
      <c r="B4" s="4" t="s">
        <v>24</v>
      </c>
      <c r="D4" s="4" t="s">
        <v>6</v>
      </c>
      <c r="E4" s="4" t="s">
        <v>24</v>
      </c>
    </row>
    <row r="5" spans="1:5" x14ac:dyDescent="0.25">
      <c r="A5" s="8" t="s">
        <v>13</v>
      </c>
      <c r="B5" s="9">
        <f>COUNTIF(Applications!$D$3:$D$202,A5)</f>
        <v>0</v>
      </c>
      <c r="D5" s="8" t="s">
        <v>16</v>
      </c>
      <c r="E5" s="9">
        <f>COUNTIF(Applications!$G$3:$G$202,D5)</f>
        <v>0</v>
      </c>
    </row>
    <row r="6" spans="1:5" x14ac:dyDescent="0.25">
      <c r="A6" s="8" t="s">
        <v>25</v>
      </c>
      <c r="B6" s="9">
        <f>COUNTIF(Applications!$D$3:$D$202,A6)</f>
        <v>0</v>
      </c>
      <c r="D6" s="8" t="s">
        <v>26</v>
      </c>
      <c r="E6" s="9">
        <f>COUNTIF(Applications!$G$3:$G$202,D6)</f>
        <v>0</v>
      </c>
    </row>
    <row r="7" spans="1:5" x14ac:dyDescent="0.25">
      <c r="A7" s="8" t="s">
        <v>27</v>
      </c>
      <c r="B7" s="9">
        <f>COUNTIF(Applications!$D$3:$D$202,A7)</f>
        <v>0</v>
      </c>
      <c r="D7" s="8" t="s">
        <v>28</v>
      </c>
      <c r="E7" s="9">
        <f>COUNTIF(Applications!$G$3:$G$202,D7)</f>
        <v>0</v>
      </c>
    </row>
    <row r="8" spans="1:5" x14ac:dyDescent="0.25">
      <c r="A8" s="8" t="s">
        <v>29</v>
      </c>
      <c r="B8" s="9">
        <f>COUNTIF(Applications!$D$3:$D$202,A8)</f>
        <v>0</v>
      </c>
      <c r="D8" s="8" t="s">
        <v>30</v>
      </c>
      <c r="E8" s="9">
        <f>COUNTIF(Applications!$G$3:$G$202,D8)</f>
        <v>0</v>
      </c>
    </row>
    <row r="9" spans="1:5" x14ac:dyDescent="0.25">
      <c r="A9" s="8" t="s">
        <v>31</v>
      </c>
      <c r="B9" s="9">
        <f>COUNTIF(Applications!$D$3:$D$202,A9)</f>
        <v>0</v>
      </c>
      <c r="D9" s="8" t="s">
        <v>32</v>
      </c>
      <c r="E9" s="9">
        <f>COUNTIF(Applications!$G$3:$G$202,D9)</f>
        <v>0</v>
      </c>
    </row>
    <row r="10" spans="1:5" x14ac:dyDescent="0.25">
      <c r="A10" s="8" t="s">
        <v>33</v>
      </c>
      <c r="B10" s="9">
        <f>COUNTIF(Applications!$D$3:$D$202,A10)</f>
        <v>0</v>
      </c>
      <c r="D10" s="8" t="s">
        <v>34</v>
      </c>
      <c r="E10" s="9">
        <f>COUNTIF(Applications!$G$3:$G$202,D10)</f>
        <v>0</v>
      </c>
    </row>
    <row r="11" spans="1:5" x14ac:dyDescent="0.25">
      <c r="A11" s="8" t="s">
        <v>35</v>
      </c>
      <c r="B11" s="9">
        <f>COUNTIF(Applications!$D$3:$D$202,A11)</f>
        <v>0</v>
      </c>
      <c r="D11" s="8" t="s">
        <v>36</v>
      </c>
      <c r="E11" s="9">
        <f>COUNTIF(Applications!$G$3:$G$202,D11)</f>
        <v>0</v>
      </c>
    </row>
    <row r="12" spans="1:5" x14ac:dyDescent="0.25">
      <c r="A12" s="10" t="s">
        <v>37</v>
      </c>
      <c r="B12" s="11">
        <f>SUM(B5:B11)</f>
        <v>0</v>
      </c>
    </row>
    <row r="14" spans="1:5" x14ac:dyDescent="0.25">
      <c r="A14" s="7" t="s">
        <v>38</v>
      </c>
    </row>
    <row r="15" spans="1:5" x14ac:dyDescent="0.25">
      <c r="A15" s="8" t="s">
        <v>37</v>
      </c>
      <c r="B15" s="9">
        <f>B12</f>
        <v>0</v>
      </c>
    </row>
    <row r="16" spans="1:5" x14ac:dyDescent="0.25">
      <c r="A16" s="8" t="s">
        <v>39</v>
      </c>
      <c r="B16" s="9">
        <f>E9</f>
        <v>0</v>
      </c>
    </row>
    <row r="17" spans="1:5" x14ac:dyDescent="0.25">
      <c r="A17" s="8" t="s">
        <v>40</v>
      </c>
      <c r="B17" s="9">
        <f>E10+E11</f>
        <v>0</v>
      </c>
    </row>
    <row r="18" spans="1:5" x14ac:dyDescent="0.25">
      <c r="A18" s="8" t="s">
        <v>41</v>
      </c>
      <c r="B18" s="12">
        <f>IFERROR(E9/B12,0)</f>
        <v>0</v>
      </c>
    </row>
    <row r="19" spans="1:5" x14ac:dyDescent="0.25">
      <c r="A19" s="8" t="s">
        <v>42</v>
      </c>
      <c r="B19" s="12">
        <f>IFERROR((E10+E11)/E9,0)</f>
        <v>0</v>
      </c>
    </row>
    <row r="21" spans="1:5" ht="15" customHeight="1" x14ac:dyDescent="0.25">
      <c r="A21" s="1" t="s">
        <v>43</v>
      </c>
      <c r="B21" s="1"/>
      <c r="C21" s="1"/>
      <c r="D21" s="1"/>
      <c r="E21" s="1"/>
    </row>
  </sheetData>
  <mergeCells count="2">
    <mergeCell ref="A1:E1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D2C0-FDF4-4D76-ABE3-B228912C3F1F}">
  <dimension ref="A1:B3"/>
  <sheetViews>
    <sheetView workbookViewId="0">
      <selection activeCell="B4" sqref="B4"/>
    </sheetView>
  </sheetViews>
  <sheetFormatPr defaultRowHeight="15" x14ac:dyDescent="0.25"/>
  <cols>
    <col min="2" max="2" width="21.42578125" bestFit="1" customWidth="1"/>
  </cols>
  <sheetData>
    <row r="1" spans="1:2" x14ac:dyDescent="0.25">
      <c r="A1" t="s">
        <v>44</v>
      </c>
      <c r="B1" t="s">
        <v>45</v>
      </c>
    </row>
    <row r="2" spans="1:2" x14ac:dyDescent="0.25">
      <c r="B2" t="s">
        <v>46</v>
      </c>
    </row>
    <row r="3" spans="1:2" x14ac:dyDescent="0.25">
      <c r="B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ED26-921C-4F02-B792-F3FC7D50166F}">
  <dimension ref="A1:A25"/>
  <sheetViews>
    <sheetView tabSelected="1" workbookViewId="0">
      <selection activeCell="C11" sqref="C11"/>
    </sheetView>
  </sheetViews>
  <sheetFormatPr defaultRowHeight="15" x14ac:dyDescent="0.25"/>
  <sheetData>
    <row r="1" spans="1:1" x14ac:dyDescent="0.25">
      <c r="A1" s="13" t="s">
        <v>48</v>
      </c>
    </row>
    <row r="2" spans="1:1" x14ac:dyDescent="0.25">
      <c r="A2" s="14"/>
    </row>
    <row r="3" spans="1:1" x14ac:dyDescent="0.25">
      <c r="A3" s="14" t="s">
        <v>49</v>
      </c>
    </row>
    <row r="4" spans="1:1" x14ac:dyDescent="0.25">
      <c r="A4" s="14" t="s">
        <v>50</v>
      </c>
    </row>
    <row r="5" spans="1:1" x14ac:dyDescent="0.25">
      <c r="A5" s="14" t="s">
        <v>51</v>
      </c>
    </row>
    <row r="6" spans="1:1" x14ac:dyDescent="0.25">
      <c r="A6" s="14" t="s">
        <v>52</v>
      </c>
    </row>
    <row r="7" spans="1:1" x14ac:dyDescent="0.25">
      <c r="A7" s="14" t="s">
        <v>53</v>
      </c>
    </row>
    <row r="8" spans="1:1" x14ac:dyDescent="0.25">
      <c r="A8" s="14" t="s">
        <v>54</v>
      </c>
    </row>
    <row r="10" spans="1:1" x14ac:dyDescent="0.25">
      <c r="A10" s="13" t="s">
        <v>31</v>
      </c>
    </row>
    <row r="11" spans="1:1" x14ac:dyDescent="0.25">
      <c r="A11" s="14"/>
    </row>
    <row r="12" spans="1:1" x14ac:dyDescent="0.25">
      <c r="A12" s="14" t="s">
        <v>55</v>
      </c>
    </row>
    <row r="13" spans="1:1" x14ac:dyDescent="0.25">
      <c r="A13" s="14" t="s">
        <v>56</v>
      </c>
    </row>
    <row r="14" spans="1:1" x14ac:dyDescent="0.25">
      <c r="A14" s="14" t="s">
        <v>57</v>
      </c>
    </row>
    <row r="15" spans="1:1" x14ac:dyDescent="0.25">
      <c r="A15" s="14" t="s">
        <v>58</v>
      </c>
    </row>
    <row r="16" spans="1:1" x14ac:dyDescent="0.25">
      <c r="A16" s="14" t="s">
        <v>59</v>
      </c>
    </row>
    <row r="17" spans="1:1" x14ac:dyDescent="0.25">
      <c r="A17" s="14" t="s">
        <v>60</v>
      </c>
    </row>
    <row r="19" spans="1:1" x14ac:dyDescent="0.25">
      <c r="A19" s="13" t="s">
        <v>33</v>
      </c>
    </row>
    <row r="20" spans="1:1" x14ac:dyDescent="0.25">
      <c r="A20" s="14"/>
    </row>
    <row r="21" spans="1:1" x14ac:dyDescent="0.25">
      <c r="A21" s="14" t="s">
        <v>61</v>
      </c>
    </row>
    <row r="22" spans="1:1" x14ac:dyDescent="0.25">
      <c r="A22" s="14" t="s">
        <v>62</v>
      </c>
    </row>
    <row r="23" spans="1:1" x14ac:dyDescent="0.25">
      <c r="A23" s="14" t="s">
        <v>63</v>
      </c>
    </row>
    <row r="24" spans="1:1" x14ac:dyDescent="0.25">
      <c r="A24" s="14" t="s">
        <v>64</v>
      </c>
    </row>
    <row r="25" spans="1:1" x14ac:dyDescent="0.25">
      <c r="A25" s="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Summary</vt:lpstr>
      <vt:lpstr>Details</vt:lpstr>
      <vt:lpstr>Job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</cp:lastModifiedBy>
  <cp:revision>0</cp:revision>
  <dcterms:created xsi:type="dcterms:W3CDTF">2026-08-03T13:38:34Z</dcterms:created>
  <dcterms:modified xsi:type="dcterms:W3CDTF">2026-08-03T13:50:56Z</dcterms:modified>
  <dc:language>en-US</dc:language>
</cp:coreProperties>
</file>